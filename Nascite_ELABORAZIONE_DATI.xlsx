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<sst xmlns="http://schemas.openxmlformats.org/spreadsheetml/2006/main" count="31" uniqueCount="31">
  <si>
    <t xml:space="preserve">Nati per anno ed area geografica di residenza – Ripartizioni</t>
  </si>
  <si>
    <t xml:space="preserve">Ripartizione</t>
  </si>
  <si>
    <t xml:space="preserve">Note</t>
  </si>
  <si>
    <t xml:space="preserve">Nord</t>
  </si>
  <si>
    <t xml:space="preserve">Nord-ovest</t>
  </si>
  <si>
    <t xml:space="preserve">Nord-est</t>
  </si>
  <si>
    <t xml:space="preserve">Centro</t>
  </si>
  <si>
    <t xml:space="preserve">Mezzogiorno</t>
  </si>
  <si>
    <t xml:space="preserve">Sud</t>
  </si>
  <si>
    <t xml:space="preserve">Isole</t>
  </si>
  <si>
    <t xml:space="preserve">Italia</t>
  </si>
  <si>
    <t xml:space="preserve">Percentuale rispetto 99:</t>
  </si>
  <si>
    <t xml:space="preserve">DIFF in % rispetto 99:</t>
  </si>
  <si>
    <t xml:space="preserve">DIFF num rispetto 99:</t>
  </si>
  <si>
    <t xml:space="preserve">STIMA STUDENTI SUPERIORI</t>
  </si>
  <si>
    <t xml:space="preserve">2025/26</t>
  </si>
  <si>
    <t xml:space="preserve">2026/27</t>
  </si>
  <si>
    <t xml:space="preserve">2027/28</t>
  </si>
  <si>
    <t xml:space="preserve">2028/29</t>
  </si>
  <si>
    <t xml:space="preserve">2029/30</t>
  </si>
  <si>
    <t xml:space="preserve">2030/31</t>
  </si>
  <si>
    <t xml:space="preserve">2031/32</t>
  </si>
  <si>
    <t xml:space="preserve">2032/33</t>
  </si>
  <si>
    <t xml:space="preserve">2033/34</t>
  </si>
  <si>
    <t xml:space="preserve">2034/35</t>
  </si>
  <si>
    <t xml:space="preserve">2035/36</t>
  </si>
  <si>
    <t xml:space="preserve">2036/37</t>
  </si>
  <si>
    <t xml:space="preserve">2037/38</t>
  </si>
  <si>
    <t xml:space="preserve">2038/39</t>
  </si>
  <si>
    <t xml:space="preserve">Numero:</t>
  </si>
  <si>
    <t xml:space="preserve">Trend 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</si>
</sst>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0%"/>
    <numFmt numFmtId="167" formatCode="0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Nati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Sheet1!$A$10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rgbClr val="004586"/>
            </a:solidFill>
            <a:ln>
              <a:noFill/>
            </a:ln>
          </c:spPr>
          <c:invertIfNegative val="0"/>
          <c:dLbls>
            <c:numFmt formatCode="0" sourceLinked="1"/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Sheet1!$B$2:$AA$2</c:f>
              <c:strCache>
                <c:ptCount val="26"/>
                <c:pt idx="0">
                  <c:v>1999</c:v>
                </c:pt>
                <c:pt idx="1">
                  <c:v>2000</c:v>
                </c:pt>
                <c:pt idx="2">
                  <c:v>2001</c:v>
                </c:pt>
                <c:pt idx="3">
                  <c:v>2002</c:v>
                </c:pt>
                <c:pt idx="4">
                  <c:v>2003</c:v>
                </c:pt>
                <c:pt idx="5">
                  <c:v>2004</c:v>
                </c:pt>
                <c:pt idx="6">
                  <c:v>2005</c:v>
                </c:pt>
                <c:pt idx="7">
                  <c:v>2006</c:v>
                </c:pt>
                <c:pt idx="8">
                  <c:v>2007</c:v>
                </c:pt>
                <c:pt idx="9">
                  <c:v>2008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2012</c:v>
                </c:pt>
                <c:pt idx="14">
                  <c:v>2013</c:v>
                </c:pt>
                <c:pt idx="15">
                  <c:v>2014</c:v>
                </c:pt>
                <c:pt idx="16">
                  <c:v>2015</c:v>
                </c:pt>
                <c:pt idx="17">
                  <c:v>2016</c:v>
                </c:pt>
                <c:pt idx="18">
                  <c:v>2017</c:v>
                </c:pt>
                <c:pt idx="19">
                  <c:v>2018</c:v>
                </c:pt>
                <c:pt idx="20">
                  <c:v>2019</c:v>
                </c:pt>
                <c:pt idx="21">
                  <c:v>2020</c:v>
                </c:pt>
                <c:pt idx="22">
                  <c:v>2021</c:v>
                </c:pt>
                <c:pt idx="23">
                  <c:v>2022</c:v>
                </c:pt>
                <c:pt idx="24">
                  <c:v>2023</c:v>
                </c:pt>
                <c:pt idx="25">
                  <c:v>2024</c:v>
                </c:pt>
              </c:strCache>
            </c:strRef>
          </c:cat>
          <c:val>
            <c:numRef>
              <c:f>Sheet1!$B$10:$AA$10</c:f>
              <c:numCache>
                <c:formatCode>General</c:formatCode>
                <c:ptCount val="26"/>
                <c:pt idx="0">
                  <c:v>537242</c:v>
                </c:pt>
                <c:pt idx="1">
                  <c:v>543039</c:v>
                </c:pt>
                <c:pt idx="2">
                  <c:v>535282</c:v>
                </c:pt>
                <c:pt idx="3">
                  <c:v>538198</c:v>
                </c:pt>
                <c:pt idx="4">
                  <c:v>544063</c:v>
                </c:pt>
                <c:pt idx="5">
                  <c:v>562599</c:v>
                </c:pt>
                <c:pt idx="6">
                  <c:v>554022</c:v>
                </c:pt>
                <c:pt idx="7">
                  <c:v>560010</c:v>
                </c:pt>
                <c:pt idx="8">
                  <c:v>563933</c:v>
                </c:pt>
                <c:pt idx="9">
                  <c:v>576659</c:v>
                </c:pt>
                <c:pt idx="10">
                  <c:v>568857</c:v>
                </c:pt>
                <c:pt idx="11">
                  <c:v>561944</c:v>
                </c:pt>
                <c:pt idx="12">
                  <c:v>546585</c:v>
                </c:pt>
                <c:pt idx="13">
                  <c:v>534186</c:v>
                </c:pt>
                <c:pt idx="14">
                  <c:v>514308</c:v>
                </c:pt>
                <c:pt idx="15">
                  <c:v>502596</c:v>
                </c:pt>
                <c:pt idx="16">
                  <c:v>485780</c:v>
                </c:pt>
                <c:pt idx="17">
                  <c:v>473438</c:v>
                </c:pt>
                <c:pt idx="18">
                  <c:v>458151</c:v>
                </c:pt>
                <c:pt idx="19">
                  <c:v>439747</c:v>
                </c:pt>
                <c:pt idx="20">
                  <c:v>420084</c:v>
                </c:pt>
                <c:pt idx="21">
                  <c:v>404892</c:v>
                </c:pt>
                <c:pt idx="22">
                  <c:v>400249</c:v>
                </c:pt>
                <c:pt idx="23">
                  <c:v>393333</c:v>
                </c:pt>
                <c:pt idx="24">
                  <c:v>379890</c:v>
                </c:pt>
                <c:pt idx="25">
                  <c:v>369944</c:v>
                </c:pt>
              </c:numCache>
            </c:numRef>
          </c:val>
        </c:ser>
        <c:gapWidth val="100"/>
        <c:overlap val="0"/>
        <c:axId val="49279135"/>
        <c:axId val="28804997"/>
      </c:barChart>
      <c:catAx>
        <c:axId val="492791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28804997"/>
        <c:crosses val="autoZero"/>
        <c:auto val="1"/>
        <c:lblAlgn val="ctr"/>
        <c:lblOffset val="100"/>
      </c:catAx>
      <c:valAx>
        <c:axId val="28804997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N° Bambini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9279135"/>
        <c:crosses val="autoZero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NUMERO STUDENTI SUPERIORI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91443215201"/>
          <c:y val="0.0447827536392932"/>
          <c:w val="0.725107819238702"/>
          <c:h val="0.8649849983331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4586"/>
            </a:solidFill>
            <a:ln>
              <a:noFill/>
            </a:ln>
          </c:spPr>
          <c:invertIfNegative val="0"/>
          <c:dPt>
            <c:idx val="12"/>
            <c:invertIfNegative val="0"/>
            <c:spPr>
              <a:solidFill>
                <a:srgbClr val="004586"/>
              </a:solidFill>
              <a:ln>
                <a:noFill/>
              </a:ln>
            </c:spPr>
          </c:dPt>
          <c:dLbls>
            <c:numFmt formatCode="#,##0" sourceLinked="1"/>
            <c:dLbl>
              <c:idx val="12"/>
              <c:numFmt formatCode="#,##0" sourceLinked="1"/>
              <c:txPr>
                <a:bodyPr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eparator> </c:separator>
            </c:dLbl>
            <c:txPr>
              <a:bodyPr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 </c:separator>
            <c:showLeaderLines val="0"/>
          </c:dLbls>
          <c:cat>
            <c:strRef>
              <c:f>Sheet1!$C$38:$P$38</c:f>
              <c:strCache>
                <c:ptCount val="14"/>
                <c:pt idx="0">
                  <c:v>2025/26</c:v>
                </c:pt>
                <c:pt idx="1">
                  <c:v>2026/27</c:v>
                </c:pt>
                <c:pt idx="2">
                  <c:v>2027/28</c:v>
                </c:pt>
                <c:pt idx="3">
                  <c:v>2028/29</c:v>
                </c:pt>
                <c:pt idx="4">
                  <c:v>2029/30</c:v>
                </c:pt>
                <c:pt idx="5">
                  <c:v>2030/31</c:v>
                </c:pt>
                <c:pt idx="6">
                  <c:v>2031/32</c:v>
                </c:pt>
                <c:pt idx="7">
                  <c:v>2032/33</c:v>
                </c:pt>
                <c:pt idx="8">
                  <c:v>2033/34</c:v>
                </c:pt>
                <c:pt idx="9">
                  <c:v>2034/35</c:v>
                </c:pt>
                <c:pt idx="10">
                  <c:v>2035/36</c:v>
                </c:pt>
                <c:pt idx="11">
                  <c:v>2036/37</c:v>
                </c:pt>
                <c:pt idx="12">
                  <c:v>2037/38</c:v>
                </c:pt>
                <c:pt idx="13">
                  <c:v>2038/39</c:v>
                </c:pt>
              </c:strCache>
            </c:strRef>
          </c:cat>
          <c:val>
            <c:numRef>
              <c:f>Sheet1!$C$39:$P$39</c:f>
              <c:numCache>
                <c:formatCode>General</c:formatCode>
                <c:ptCount val="14"/>
                <c:pt idx="0">
                  <c:v>2817978</c:v>
                </c:pt>
                <c:pt idx="1">
                  <c:v>2788231</c:v>
                </c:pt>
                <c:pt idx="2">
                  <c:v>2725880</c:v>
                </c:pt>
                <c:pt idx="3">
                  <c:v>2659619</c:v>
                </c:pt>
                <c:pt idx="4">
                  <c:v>2583455</c:v>
                </c:pt>
                <c:pt idx="5">
                  <c:v>2510308</c:v>
                </c:pt>
                <c:pt idx="6">
                  <c:v>2434273</c:v>
                </c:pt>
                <c:pt idx="7">
                  <c:v>2359712</c:v>
                </c:pt>
                <c:pt idx="8">
                  <c:v>2277200</c:v>
                </c:pt>
                <c:pt idx="9">
                  <c:v>2196312</c:v>
                </c:pt>
                <c:pt idx="10">
                  <c:v>2123123</c:v>
                </c:pt>
                <c:pt idx="11">
                  <c:v>2058305</c:v>
                </c:pt>
                <c:pt idx="12">
                  <c:v>1998448</c:v>
                </c:pt>
                <c:pt idx="13">
                  <c:v>1948308</c:v>
                </c:pt>
              </c:numCache>
            </c:numRef>
          </c:val>
        </c:ser>
        <c:gapWidth val="100"/>
        <c:overlap val="0"/>
        <c:axId val="32521918"/>
        <c:axId val="81954053"/>
      </c:barChart>
      <c:catAx>
        <c:axId val="3252191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ANNO SCOLASTICO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81954053"/>
        <c:crosses val="autoZero"/>
        <c:auto val="1"/>
        <c:lblAlgn val="ctr"/>
        <c:lblOffset val="100"/>
      </c:catAx>
      <c:valAx>
        <c:axId val="8195405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N* STUDENTI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32521918"/>
        <c:crosses val="autoZero"/>
      </c:valAx>
      <c:spPr>
        <a:noFill/>
        <a:ln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41040</xdr:colOff>
      <xdr:row>14</xdr:row>
      <xdr:rowOff>151200</xdr:rowOff>
    </xdr:from>
    <xdr:to>
      <xdr:col>9</xdr:col>
      <xdr:colOff>263520</xdr:colOff>
      <xdr:row>34</xdr:row>
      <xdr:rowOff>138960</xdr:rowOff>
    </xdr:to>
    <xdr:graphicFrame>
      <xdr:nvGraphicFramePr>
        <xdr:cNvPr id="0" name=""/>
        <xdr:cNvGraphicFramePr/>
      </xdr:nvGraphicFramePr>
      <xdr:xfrm>
        <a:off x="2461320" y="2566440"/>
        <a:ext cx="575928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215640</xdr:colOff>
      <xdr:row>42</xdr:row>
      <xdr:rowOff>144720</xdr:rowOff>
    </xdr:from>
    <xdr:to>
      <xdr:col>12</xdr:col>
      <xdr:colOff>515520</xdr:colOff>
      <xdr:row>139</xdr:row>
      <xdr:rowOff>94320</xdr:rowOff>
    </xdr:to>
    <xdr:graphicFrame>
      <xdr:nvGraphicFramePr>
        <xdr:cNvPr id="1" name=""/>
        <xdr:cNvGraphicFramePr/>
      </xdr:nvGraphicFramePr>
      <xdr:xfrm>
        <a:off x="2635920" y="7149960"/>
        <a:ext cx="8121960" cy="15717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P68" activeCellId="0" sqref="P68"/>
    </sheetView>
  </sheetViews>
  <sheetFormatPr defaultColWidth="8.53515625" defaultRowHeight="12.8" zeroHeight="false" outlineLevelRow="0" outlineLevelCol="0"/>
  <cols>
    <col collapsed="false" customWidth="true" hidden="false" outlineLevel="0" max="1" min="1" style="0" width="24.19"/>
    <col collapsed="false" customWidth="true" hidden="false" outlineLevel="0" max="2" min="2" style="0" width="10.12"/>
    <col collapsed="false" customWidth="true" hidden="false" outlineLevel="0" max="3" min="3" style="0" width="9.35"/>
    <col collapsed="false" customWidth="true" hidden="false" outlineLevel="0" max="9" min="4" style="0" width="11.52"/>
    <col collapsed="false" customWidth="true" hidden="false" outlineLevel="0" max="10" min="10" style="0" width="9.35"/>
    <col collapsed="false" customWidth="true" hidden="false" outlineLevel="0" max="13" min="11" style="0" width="11.52"/>
    <col collapsed="false" customWidth="true" hidden="false" outlineLevel="0" max="14" min="14" style="1" width="11.52"/>
    <col collapsed="false" customWidth="true" hidden="false" outlineLevel="0" max="15" min="15" style="0" width="11.52"/>
    <col collapsed="false" customWidth="true" hidden="false" outlineLevel="0" max="16" min="16" style="0" width="9.35"/>
    <col collapsed="false" customWidth="true" hidden="false" outlineLevel="0" max="27" min="17" style="0" width="8.1"/>
    <col collapsed="false" customWidth="true" hidden="false" outlineLevel="0" max="28" min="28" style="0" width="6.01"/>
  </cols>
  <sheetData>
    <row r="1" customFormat="false" ht="12.8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customFormat="false" ht="12.8" hidden="false" customHeight="false" outlineLevel="0" collapsed="false">
      <c r="A2" s="3" t="s">
        <v>1</v>
      </c>
      <c r="B2" s="3" t="n">
        <v>1999</v>
      </c>
      <c r="C2" s="3" t="n">
        <v>2000</v>
      </c>
      <c r="D2" s="3" t="n">
        <v>2001</v>
      </c>
      <c r="E2" s="3" t="n">
        <v>2002</v>
      </c>
      <c r="F2" s="3" t="n">
        <v>2003</v>
      </c>
      <c r="G2" s="3" t="n">
        <v>2004</v>
      </c>
      <c r="H2" s="3" t="n">
        <v>2005</v>
      </c>
      <c r="I2" s="3" t="n">
        <v>2006</v>
      </c>
      <c r="J2" s="3" t="n">
        <v>2007</v>
      </c>
      <c r="K2" s="3" t="n">
        <v>2008</v>
      </c>
      <c r="L2" s="3" t="n">
        <v>2009</v>
      </c>
      <c r="M2" s="3" t="n">
        <v>2010</v>
      </c>
      <c r="N2" s="4" t="n">
        <v>2011</v>
      </c>
      <c r="O2" s="3" t="n">
        <v>2012</v>
      </c>
      <c r="P2" s="3" t="n">
        <v>2013</v>
      </c>
      <c r="Q2" s="3" t="n">
        <v>2014</v>
      </c>
      <c r="R2" s="3" t="n">
        <v>2015</v>
      </c>
      <c r="S2" s="3" t="n">
        <v>2016</v>
      </c>
      <c r="T2" s="3" t="n">
        <v>2017</v>
      </c>
      <c r="U2" s="3" t="n">
        <v>2018</v>
      </c>
      <c r="V2" s="3" t="n">
        <v>2019</v>
      </c>
      <c r="W2" s="3" t="n">
        <v>2020</v>
      </c>
      <c r="X2" s="3" t="n">
        <v>2021</v>
      </c>
      <c r="Y2" s="3" t="n">
        <v>2022</v>
      </c>
      <c r="Z2" s="3" t="n">
        <v>2023</v>
      </c>
      <c r="AA2" s="3" t="n">
        <v>2024</v>
      </c>
      <c r="AB2" s="3" t="s">
        <v>2</v>
      </c>
    </row>
    <row r="3" customFormat="false" ht="13.8" hidden="false" customHeight="false" outlineLevel="0" collapsed="false">
      <c r="A3" s="0" t="s">
        <v>3</v>
      </c>
      <c r="B3" s="5" t="n">
        <v>222296</v>
      </c>
      <c r="C3" s="5" t="n">
        <v>231053</v>
      </c>
      <c r="D3" s="5" t="n">
        <v>228860</v>
      </c>
      <c r="E3" s="5" t="n">
        <v>233903</v>
      </c>
      <c r="F3" s="5" t="n">
        <v>236649</v>
      </c>
      <c r="G3" s="5" t="n">
        <v>249824</v>
      </c>
      <c r="H3" s="5" t="n">
        <v>248568</v>
      </c>
      <c r="I3" s="5" t="n">
        <v>254010</v>
      </c>
      <c r="J3" s="5" t="n">
        <v>257792</v>
      </c>
      <c r="K3" s="5" t="n">
        <v>264035</v>
      </c>
      <c r="L3" s="5" t="n">
        <v>262561</v>
      </c>
      <c r="M3" s="5" t="n">
        <v>259351</v>
      </c>
      <c r="N3" s="6" t="n">
        <v>250884</v>
      </c>
      <c r="O3" s="5" t="n">
        <v>245756</v>
      </c>
      <c r="P3" s="5" t="n">
        <v>235947</v>
      </c>
      <c r="Q3" s="5" t="n">
        <v>229597</v>
      </c>
      <c r="R3" s="5" t="n">
        <v>221721</v>
      </c>
      <c r="S3" s="5" t="n">
        <v>215193</v>
      </c>
      <c r="T3" s="5" t="n">
        <v>207771</v>
      </c>
      <c r="U3" s="5" t="n">
        <v>199971</v>
      </c>
      <c r="V3" s="5" t="n">
        <v>192123</v>
      </c>
      <c r="W3" s="5" t="n">
        <v>185076</v>
      </c>
      <c r="X3" s="5" t="n">
        <v>184185</v>
      </c>
      <c r="Y3" s="5" t="n">
        <v>180286</v>
      </c>
      <c r="Z3" s="5" t="n">
        <v>174269</v>
      </c>
      <c r="AA3" s="5" t="n">
        <v>171505</v>
      </c>
    </row>
    <row r="4" customFormat="false" ht="13.8" hidden="false" customHeight="false" outlineLevel="0" collapsed="false">
      <c r="A4" s="0" t="s">
        <v>4</v>
      </c>
      <c r="B4" s="5" t="n">
        <v>129025</v>
      </c>
      <c r="C4" s="5" t="n">
        <v>133620</v>
      </c>
      <c r="D4" s="5" t="n">
        <v>132412</v>
      </c>
      <c r="E4" s="5" t="n">
        <v>134948</v>
      </c>
      <c r="F4" s="5" t="n">
        <v>136616</v>
      </c>
      <c r="G4" s="5" t="n">
        <v>143502</v>
      </c>
      <c r="H4" s="5" t="n">
        <v>142849</v>
      </c>
      <c r="I4" s="5" t="n">
        <v>146403</v>
      </c>
      <c r="J4" s="5" t="n">
        <v>148242</v>
      </c>
      <c r="K4" s="5" t="n">
        <v>151969</v>
      </c>
      <c r="L4" s="5" t="n">
        <v>151552</v>
      </c>
      <c r="M4" s="5" t="n">
        <v>149437</v>
      </c>
      <c r="N4" s="6" t="n">
        <v>144537</v>
      </c>
      <c r="O4" s="5" t="n">
        <v>141625</v>
      </c>
      <c r="P4" s="5" t="n">
        <v>136115</v>
      </c>
      <c r="Q4" s="5" t="n">
        <v>132744</v>
      </c>
      <c r="R4" s="5" t="n">
        <v>128199</v>
      </c>
      <c r="S4" s="5" t="n">
        <v>124183</v>
      </c>
      <c r="T4" s="5" t="n">
        <v>120195</v>
      </c>
      <c r="U4" s="5" t="n">
        <v>114712</v>
      </c>
      <c r="V4" s="5" t="n">
        <v>110677</v>
      </c>
      <c r="W4" s="5" t="n">
        <v>105870</v>
      </c>
      <c r="X4" s="5" t="n">
        <v>104918</v>
      </c>
      <c r="Y4" s="5" t="n">
        <v>102717</v>
      </c>
      <c r="Z4" s="5" t="n">
        <v>99797</v>
      </c>
      <c r="AA4" s="5" t="n">
        <v>98313</v>
      </c>
    </row>
    <row r="5" customFormat="false" ht="13.8" hidden="false" customHeight="false" outlineLevel="0" collapsed="false">
      <c r="A5" s="0" t="s">
        <v>5</v>
      </c>
      <c r="B5" s="5" t="n">
        <v>93271</v>
      </c>
      <c r="C5" s="5" t="n">
        <v>97433</v>
      </c>
      <c r="D5" s="5" t="n">
        <v>96448</v>
      </c>
      <c r="E5" s="5" t="n">
        <v>98955</v>
      </c>
      <c r="F5" s="5" t="n">
        <v>100033</v>
      </c>
      <c r="G5" s="5" t="n">
        <v>106322</v>
      </c>
      <c r="H5" s="5" t="n">
        <v>105719</v>
      </c>
      <c r="I5" s="5" t="n">
        <v>107607</v>
      </c>
      <c r="J5" s="5" t="n">
        <v>109550</v>
      </c>
      <c r="K5" s="5" t="n">
        <v>112066</v>
      </c>
      <c r="L5" s="5" t="n">
        <v>111009</v>
      </c>
      <c r="M5" s="5" t="n">
        <v>109914</v>
      </c>
      <c r="N5" s="6" t="n">
        <v>106347</v>
      </c>
      <c r="O5" s="5" t="n">
        <v>104131</v>
      </c>
      <c r="P5" s="5" t="n">
        <v>99832</v>
      </c>
      <c r="Q5" s="5" t="n">
        <v>96853</v>
      </c>
      <c r="R5" s="5" t="n">
        <v>93522</v>
      </c>
      <c r="S5" s="5" t="n">
        <v>91010</v>
      </c>
      <c r="T5" s="5" t="n">
        <v>87576</v>
      </c>
      <c r="U5" s="5" t="n">
        <v>85259</v>
      </c>
      <c r="V5" s="5" t="n">
        <v>81446</v>
      </c>
      <c r="W5" s="5" t="n">
        <v>79206</v>
      </c>
      <c r="X5" s="5" t="n">
        <v>79267</v>
      </c>
      <c r="Y5" s="5" t="n">
        <v>77569</v>
      </c>
      <c r="Z5" s="5" t="n">
        <v>74472</v>
      </c>
      <c r="AA5" s="5" t="n">
        <v>73192</v>
      </c>
    </row>
    <row r="6" customFormat="false" ht="13.8" hidden="false" customHeight="false" outlineLevel="0" collapsed="false">
      <c r="A6" s="0" t="s">
        <v>6</v>
      </c>
      <c r="B6" s="5" t="n">
        <v>96553</v>
      </c>
      <c r="C6" s="5" t="n">
        <v>96505</v>
      </c>
      <c r="D6" s="5" t="n">
        <v>95029</v>
      </c>
      <c r="E6" s="5" t="n">
        <v>97590</v>
      </c>
      <c r="F6" s="5" t="n">
        <v>99350</v>
      </c>
      <c r="G6" s="5" t="n">
        <v>104593</v>
      </c>
      <c r="H6" s="5" t="n">
        <v>103260</v>
      </c>
      <c r="I6" s="5" t="n">
        <v>105927</v>
      </c>
      <c r="J6" s="5" t="n">
        <v>106633</v>
      </c>
      <c r="K6" s="5" t="n">
        <v>113123</v>
      </c>
      <c r="L6" s="5" t="n">
        <v>109426</v>
      </c>
      <c r="M6" s="5" t="n">
        <v>108931</v>
      </c>
      <c r="N6" s="6" t="n">
        <v>107597</v>
      </c>
      <c r="O6" s="5" t="n">
        <v>104951</v>
      </c>
      <c r="P6" s="5" t="n">
        <v>101674</v>
      </c>
      <c r="Q6" s="5" t="n">
        <v>98856</v>
      </c>
      <c r="R6" s="5" t="n">
        <v>94171</v>
      </c>
      <c r="S6" s="5" t="n">
        <v>92346</v>
      </c>
      <c r="T6" s="5" t="n">
        <v>87450</v>
      </c>
      <c r="U6" s="5" t="n">
        <v>82976</v>
      </c>
      <c r="V6" s="5" t="n">
        <v>77580</v>
      </c>
      <c r="W6" s="5" t="n">
        <v>75062</v>
      </c>
      <c r="X6" s="5" t="n">
        <v>74289</v>
      </c>
      <c r="Y6" s="5" t="n">
        <v>71386</v>
      </c>
      <c r="Z6" s="5" t="n">
        <v>68730</v>
      </c>
      <c r="AA6" s="5" t="n">
        <v>67435</v>
      </c>
    </row>
    <row r="7" customFormat="false" ht="13.8" hidden="false" customHeight="false" outlineLevel="0" collapsed="false">
      <c r="A7" s="0" t="s">
        <v>7</v>
      </c>
      <c r="B7" s="5" t="n">
        <v>218393</v>
      </c>
      <c r="C7" s="5" t="n">
        <v>215481</v>
      </c>
      <c r="D7" s="5" t="n">
        <v>211393</v>
      </c>
      <c r="E7" s="5" t="n">
        <v>206705</v>
      </c>
      <c r="F7" s="5" t="n">
        <v>208064</v>
      </c>
      <c r="G7" s="5" t="n">
        <v>208182</v>
      </c>
      <c r="H7" s="5" t="n">
        <v>202194</v>
      </c>
      <c r="I7" s="5" t="n">
        <v>200073</v>
      </c>
      <c r="J7" s="5" t="n">
        <v>199508</v>
      </c>
      <c r="K7" s="5" t="n">
        <v>199501</v>
      </c>
      <c r="L7" s="5" t="n">
        <v>196870</v>
      </c>
      <c r="M7" s="5" t="n">
        <v>193662</v>
      </c>
      <c r="N7" s="6" t="n">
        <v>188104</v>
      </c>
      <c r="O7" s="5" t="n">
        <v>183479</v>
      </c>
      <c r="P7" s="5" t="n">
        <v>176687</v>
      </c>
      <c r="Q7" s="5" t="n">
        <v>174143</v>
      </c>
      <c r="R7" s="5" t="n">
        <v>169888</v>
      </c>
      <c r="S7" s="5" t="n">
        <v>165899</v>
      </c>
      <c r="T7" s="5" t="n">
        <v>162930</v>
      </c>
      <c r="U7" s="5" t="n">
        <v>156800</v>
      </c>
      <c r="V7" s="5" t="n">
        <v>150381</v>
      </c>
      <c r="W7" s="5" t="n">
        <v>144754</v>
      </c>
      <c r="X7" s="5" t="n">
        <v>141775</v>
      </c>
      <c r="Y7" s="5" t="n">
        <v>141661</v>
      </c>
      <c r="Z7" s="5" t="n">
        <v>136891</v>
      </c>
      <c r="AA7" s="5" t="n">
        <v>131004</v>
      </c>
    </row>
    <row r="8" customFormat="false" ht="13.8" hidden="false" customHeight="false" outlineLevel="0" collapsed="false">
      <c r="A8" s="0" t="s">
        <v>8</v>
      </c>
      <c r="B8" s="5" t="n">
        <v>149914</v>
      </c>
      <c r="C8" s="5" t="n">
        <v>148464</v>
      </c>
      <c r="D8" s="5" t="n">
        <v>146071</v>
      </c>
      <c r="E8" s="5" t="n">
        <v>142316</v>
      </c>
      <c r="F8" s="5" t="n">
        <v>142594</v>
      </c>
      <c r="G8" s="5" t="n">
        <v>143330</v>
      </c>
      <c r="H8" s="5" t="n">
        <v>138177</v>
      </c>
      <c r="I8" s="5" t="n">
        <v>136877</v>
      </c>
      <c r="J8" s="5" t="n">
        <v>136939</v>
      </c>
      <c r="K8" s="5" t="n">
        <v>136194</v>
      </c>
      <c r="L8" s="5" t="n">
        <v>134145</v>
      </c>
      <c r="M8" s="5" t="n">
        <v>132041</v>
      </c>
      <c r="N8" s="6" t="n">
        <v>127942</v>
      </c>
      <c r="O8" s="5" t="n">
        <v>124721</v>
      </c>
      <c r="P8" s="5" t="n">
        <v>120321</v>
      </c>
      <c r="Q8" s="5" t="n">
        <v>117794</v>
      </c>
      <c r="R8" s="5" t="n">
        <v>115499</v>
      </c>
      <c r="S8" s="5" t="n">
        <v>113731</v>
      </c>
      <c r="T8" s="5" t="n">
        <v>111309</v>
      </c>
      <c r="U8" s="5" t="n">
        <v>106713</v>
      </c>
      <c r="V8" s="5" t="n">
        <v>102907</v>
      </c>
      <c r="W8" s="5" t="n">
        <v>98972</v>
      </c>
      <c r="X8" s="5" t="n">
        <v>96308</v>
      </c>
      <c r="Y8" s="5" t="n">
        <v>97148</v>
      </c>
      <c r="Z8" s="5" t="n">
        <v>94160</v>
      </c>
      <c r="AA8" s="5" t="n">
        <v>90292</v>
      </c>
    </row>
    <row r="9" customFormat="false" ht="13.8" hidden="false" customHeight="false" outlineLevel="0" collapsed="false">
      <c r="A9" s="0" t="s">
        <v>9</v>
      </c>
      <c r="B9" s="5" t="n">
        <v>68479</v>
      </c>
      <c r="C9" s="5" t="n">
        <v>67017</v>
      </c>
      <c r="D9" s="5" t="n">
        <v>65322</v>
      </c>
      <c r="E9" s="5" t="n">
        <v>64389</v>
      </c>
      <c r="F9" s="5" t="n">
        <v>65470</v>
      </c>
      <c r="G9" s="5" t="n">
        <v>64852</v>
      </c>
      <c r="H9" s="5" t="n">
        <v>64017</v>
      </c>
      <c r="I9" s="5" t="n">
        <v>63196</v>
      </c>
      <c r="J9" s="5" t="n">
        <v>62569</v>
      </c>
      <c r="K9" s="5" t="n">
        <v>63307</v>
      </c>
      <c r="L9" s="5" t="n">
        <v>62725</v>
      </c>
      <c r="M9" s="5" t="n">
        <v>61621</v>
      </c>
      <c r="N9" s="6" t="n">
        <v>60162</v>
      </c>
      <c r="O9" s="5" t="n">
        <v>58758</v>
      </c>
      <c r="P9" s="5" t="n">
        <v>56366</v>
      </c>
      <c r="Q9" s="5" t="n">
        <v>56349</v>
      </c>
      <c r="R9" s="5" t="n">
        <v>54389</v>
      </c>
      <c r="S9" s="5" t="n">
        <v>52168</v>
      </c>
      <c r="T9" s="5" t="n">
        <v>51621</v>
      </c>
      <c r="U9" s="5" t="n">
        <v>50087</v>
      </c>
      <c r="V9" s="5" t="n">
        <v>47474</v>
      </c>
      <c r="W9" s="5" t="n">
        <v>45782</v>
      </c>
      <c r="X9" s="5" t="n">
        <v>45467</v>
      </c>
      <c r="Y9" s="5" t="n">
        <v>44513</v>
      </c>
      <c r="Z9" s="5" t="n">
        <v>42731</v>
      </c>
      <c r="AA9" s="5" t="n">
        <v>40712</v>
      </c>
    </row>
    <row r="10" customFormat="false" ht="13.8" hidden="false" customHeight="false" outlineLevel="0" collapsed="false">
      <c r="A10" s="0" t="s">
        <v>10</v>
      </c>
      <c r="B10" s="5" t="n">
        <v>537242</v>
      </c>
      <c r="C10" s="5" t="n">
        <v>543039</v>
      </c>
      <c r="D10" s="5" t="n">
        <v>535282</v>
      </c>
      <c r="E10" s="5" t="n">
        <v>538198</v>
      </c>
      <c r="F10" s="5" t="n">
        <v>544063</v>
      </c>
      <c r="G10" s="5" t="n">
        <v>562599</v>
      </c>
      <c r="H10" s="5" t="n">
        <v>554022</v>
      </c>
      <c r="I10" s="5" t="n">
        <v>560010</v>
      </c>
      <c r="J10" s="5" t="n">
        <v>563933</v>
      </c>
      <c r="K10" s="5" t="n">
        <v>576659</v>
      </c>
      <c r="L10" s="5" t="n">
        <v>568857</v>
      </c>
      <c r="M10" s="5" t="n">
        <v>561944</v>
      </c>
      <c r="N10" s="6" t="n">
        <v>546585</v>
      </c>
      <c r="O10" s="5" t="n">
        <v>534186</v>
      </c>
      <c r="P10" s="5" t="n">
        <v>514308</v>
      </c>
      <c r="Q10" s="5" t="n">
        <v>502596</v>
      </c>
      <c r="R10" s="5" t="n">
        <v>485780</v>
      </c>
      <c r="S10" s="5" t="n">
        <v>473438</v>
      </c>
      <c r="T10" s="5" t="n">
        <v>458151</v>
      </c>
      <c r="U10" s="5" t="n">
        <v>439747</v>
      </c>
      <c r="V10" s="5" t="n">
        <v>420084</v>
      </c>
      <c r="W10" s="5" t="n">
        <v>404892</v>
      </c>
      <c r="X10" s="5" t="n">
        <v>400249</v>
      </c>
      <c r="Y10" s="5" t="n">
        <v>393333</v>
      </c>
      <c r="Z10" s="5" t="n">
        <v>379890</v>
      </c>
      <c r="AA10" s="5" t="n">
        <v>369944</v>
      </c>
    </row>
    <row r="11" customFormat="false" ht="12.8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customFormat="false" ht="13.8" hidden="false" customHeight="false" outlineLevel="0" collapsed="false">
      <c r="A12" s="7" t="s">
        <v>11</v>
      </c>
      <c r="B12" s="8" t="n">
        <f aca="false">B10/$B$10</f>
        <v>1</v>
      </c>
      <c r="C12" s="8" t="n">
        <f aca="false">C10/$B$10</f>
        <v>1.01079029562097</v>
      </c>
      <c r="D12" s="8" t="n">
        <f aca="false">D10/$B$10</f>
        <v>0.996351737205952</v>
      </c>
      <c r="E12" s="8" t="n">
        <f aca="false">E10/$B$10</f>
        <v>1.00177945879138</v>
      </c>
      <c r="F12" s="8" t="n">
        <f aca="false">F10/$B$10</f>
        <v>1.012696326795</v>
      </c>
      <c r="G12" s="8" t="n">
        <f aca="false">G10/$B$10</f>
        <v>1.04719846921871</v>
      </c>
      <c r="H12" s="8" t="n">
        <f aca="false">H10/$B$10</f>
        <v>1.03123359677762</v>
      </c>
      <c r="I12" s="8" t="n">
        <f aca="false">I10/$B$10</f>
        <v>1.04237941188515</v>
      </c>
      <c r="J12" s="8" t="n">
        <f aca="false">J10/$B$10</f>
        <v>1.04968152154895</v>
      </c>
      <c r="K12" s="8" t="n">
        <f aca="false">K10/$B$10</f>
        <v>1.0733691706903</v>
      </c>
      <c r="L12" s="8" t="n">
        <f aca="false">L10/$B$10</f>
        <v>1.05884685113971</v>
      </c>
      <c r="M12" s="8" t="n">
        <f aca="false">M10/$B$10</f>
        <v>1.04597927935642</v>
      </c>
      <c r="N12" s="9" t="n">
        <f aca="false">N10/$B$10</f>
        <v>1.01739067310449</v>
      </c>
      <c r="O12" s="8" t="n">
        <f aca="false">O10/$B$10</f>
        <v>0.994311688214994</v>
      </c>
      <c r="P12" s="8" t="n">
        <f aca="false">P10/$B$10</f>
        <v>0.9573116025925</v>
      </c>
      <c r="Q12" s="8" t="n">
        <f aca="false">Q10/$B$10</f>
        <v>0.935511371039494</v>
      </c>
      <c r="R12" s="8" t="n">
        <f aca="false">R10/$B$10</f>
        <v>0.904210765353416</v>
      </c>
      <c r="S12" s="8" t="n">
        <f aca="false">S10/$B$10</f>
        <v>0.881237877902323</v>
      </c>
      <c r="T12" s="8" t="n">
        <f aca="false">T10/$B$10</f>
        <v>0.852783289467316</v>
      </c>
      <c r="U12" s="8" t="n">
        <f aca="false">U10/$B$10</f>
        <v>0.818526846374632</v>
      </c>
      <c r="V12" s="8" t="n">
        <f aca="false">V10/$B$10</f>
        <v>0.781926952844342</v>
      </c>
      <c r="W12" s="8" t="n">
        <f aca="false">W10/$B$10</f>
        <v>0.753649193473332</v>
      </c>
      <c r="X12" s="8" t="n">
        <f aca="false">X10/$B$10</f>
        <v>0.745006905640289</v>
      </c>
      <c r="Y12" s="8" t="n">
        <f aca="false">Y10/$B$10</f>
        <v>0.73213374978129</v>
      </c>
      <c r="Z12" s="8" t="n">
        <f aca="false">Z10/$B$10</f>
        <v>0.707111506546398</v>
      </c>
      <c r="AA12" s="8" t="n">
        <f aca="false">AA10/$B$10</f>
        <v>0.688598434225172</v>
      </c>
    </row>
    <row r="13" customFormat="false" ht="13.8" hidden="false" customHeight="false" outlineLevel="0" collapsed="false">
      <c r="A13" s="7" t="s">
        <v>12</v>
      </c>
      <c r="B13" s="8" t="n">
        <f aca="false">B12 - $B$12</f>
        <v>0</v>
      </c>
      <c r="C13" s="8" t="n">
        <f aca="false">C12 - $B$12</f>
        <v>0.0107902956209678</v>
      </c>
      <c r="D13" s="8" t="n">
        <f aca="false">D12 - $B$12</f>
        <v>-0.00364826279404817</v>
      </c>
      <c r="E13" s="8" t="n">
        <f aca="false">E12 - $B$12</f>
        <v>0.00177945879138264</v>
      </c>
      <c r="F13" s="8" t="n">
        <f aca="false">F12 - $B$12</f>
        <v>0.0126963267950011</v>
      </c>
      <c r="G13" s="8" t="n">
        <f aca="false">G12 - $B$12</f>
        <v>0.0471984692187133</v>
      </c>
      <c r="H13" s="8" t="n">
        <f aca="false">H12 - $B$12</f>
        <v>0.0312335967776161</v>
      </c>
      <c r="I13" s="8" t="n">
        <f aca="false">I12 - $B$12</f>
        <v>0.0423794118851468</v>
      </c>
      <c r="J13" s="8" t="n">
        <f aca="false">J12 - $B$12</f>
        <v>0.0496815215489481</v>
      </c>
      <c r="K13" s="8" t="n">
        <f aca="false">K12 - $B$12</f>
        <v>0.0733691706903035</v>
      </c>
      <c r="L13" s="8" t="n">
        <f aca="false">L12 - $B$12</f>
        <v>0.0588468511397098</v>
      </c>
      <c r="M13" s="8" t="n">
        <f aca="false">M12 - $B$12</f>
        <v>0.0459792793564167</v>
      </c>
      <c r="N13" s="9" t="n">
        <f aca="false">N12 - $B$12</f>
        <v>0.0173906731044855</v>
      </c>
      <c r="O13" s="8" t="n">
        <f aca="false">O12 - $B$12</f>
        <v>-0.00568831178500562</v>
      </c>
      <c r="P13" s="8" t="n">
        <f aca="false">P12 - $B$12</f>
        <v>-0.0426883974074997</v>
      </c>
      <c r="Q13" s="8" t="n">
        <f aca="false">Q12 - $B$12</f>
        <v>-0.0644886289605057</v>
      </c>
      <c r="R13" s="8" t="n">
        <f aca="false">R12 - $B$12</f>
        <v>-0.0957892346465838</v>
      </c>
      <c r="S13" s="8" t="n">
        <f aca="false">S12 - $B$12</f>
        <v>-0.118762122097677</v>
      </c>
      <c r="T13" s="8" t="n">
        <f aca="false">T12 - $B$12</f>
        <v>-0.147216710532684</v>
      </c>
      <c r="U13" s="8" t="n">
        <f aca="false">U12 - $B$12</f>
        <v>-0.181473153625368</v>
      </c>
      <c r="V13" s="8" t="n">
        <f aca="false">V12 - $B$12</f>
        <v>-0.218073047155658</v>
      </c>
      <c r="W13" s="8" t="n">
        <f aca="false">W12 - $B$12</f>
        <v>-0.246350806526668</v>
      </c>
      <c r="X13" s="8" t="n">
        <f aca="false">X12 - $B$12</f>
        <v>-0.254993094359711</v>
      </c>
      <c r="Y13" s="8" t="n">
        <f aca="false">Y12 - $B$12</f>
        <v>-0.26786625021871</v>
      </c>
      <c r="Z13" s="8" t="n">
        <f aca="false">Z12 - $B$12</f>
        <v>-0.292888493453602</v>
      </c>
      <c r="AA13" s="8" t="n">
        <f aca="false">AA12 - $B$12</f>
        <v>-0.311401565774828</v>
      </c>
    </row>
    <row r="14" customFormat="false" ht="13.8" hidden="false" customHeight="false" outlineLevel="0" collapsed="false">
      <c r="A14" s="7" t="s">
        <v>13</v>
      </c>
      <c r="B14" s="10" t="n">
        <f aca="false">B10 - $B$10</f>
        <v>0</v>
      </c>
      <c r="C14" s="10" t="n">
        <f aca="false">C10 - $B$10</f>
        <v>5797</v>
      </c>
      <c r="D14" s="10" t="n">
        <f aca="false">D10 - $B$10</f>
        <v>-1960</v>
      </c>
      <c r="E14" s="10" t="n">
        <f aca="false">E10 - $B$10</f>
        <v>956</v>
      </c>
      <c r="F14" s="10" t="n">
        <f aca="false">F10 - $B$10</f>
        <v>6821</v>
      </c>
      <c r="G14" s="10" t="n">
        <f aca="false">G10 - $B$10</f>
        <v>25357</v>
      </c>
      <c r="H14" s="10" t="n">
        <f aca="false">H10 - $B$10</f>
        <v>16780</v>
      </c>
      <c r="I14" s="10" t="n">
        <f aca="false">I10 - $B$10</f>
        <v>22768</v>
      </c>
      <c r="J14" s="10" t="n">
        <f aca="false">J10 - $B$10</f>
        <v>26691</v>
      </c>
      <c r="K14" s="10" t="n">
        <f aca="false">K10 - $B$10</f>
        <v>39417</v>
      </c>
      <c r="L14" s="10" t="n">
        <f aca="false">L10 - $B$10</f>
        <v>31615</v>
      </c>
      <c r="M14" s="10" t="n">
        <f aca="false">M10 - $B$10</f>
        <v>24702</v>
      </c>
      <c r="N14" s="11" t="n">
        <f aca="false">N10 - $B$10</f>
        <v>9343</v>
      </c>
      <c r="O14" s="10" t="n">
        <f aca="false">O10 - $B$10</f>
        <v>-3056</v>
      </c>
      <c r="P14" s="10" t="n">
        <f aca="false">P10 - $B$10</f>
        <v>-22934</v>
      </c>
      <c r="Q14" s="10" t="n">
        <f aca="false">Q10 - $B$10</f>
        <v>-34646</v>
      </c>
      <c r="R14" s="10" t="n">
        <f aca="false">R10 - $B$10</f>
        <v>-51462</v>
      </c>
      <c r="S14" s="10" t="n">
        <f aca="false">S10 - $B$10</f>
        <v>-63804</v>
      </c>
      <c r="T14" s="10" t="n">
        <f aca="false">T10 - $B$10</f>
        <v>-79091</v>
      </c>
      <c r="U14" s="10" t="n">
        <f aca="false">U10 - $B$10</f>
        <v>-97495</v>
      </c>
      <c r="V14" s="10" t="n">
        <f aca="false">V10 - $B$10</f>
        <v>-117158</v>
      </c>
      <c r="W14" s="10" t="n">
        <f aca="false">W10 - $B$10</f>
        <v>-132350</v>
      </c>
      <c r="X14" s="10" t="n">
        <f aca="false">X10 - $B$10</f>
        <v>-136993</v>
      </c>
      <c r="Y14" s="10" t="n">
        <f aca="false">Y10 - $B$10</f>
        <v>-143909</v>
      </c>
      <c r="Z14" s="10" t="n">
        <f aca="false">Z10 - $B$10</f>
        <v>-157352</v>
      </c>
      <c r="AA14" s="10" t="n">
        <f aca="false">AA10 - $B$10</f>
        <v>-167298</v>
      </c>
    </row>
    <row r="38" customFormat="false" ht="13.8" hidden="false" customHeight="false" outlineLevel="0" collapsed="false">
      <c r="A38" s="7" t="s">
        <v>14</v>
      </c>
      <c r="C38" s="7" t="s">
        <v>15</v>
      </c>
      <c r="D38" s="7" t="s">
        <v>16</v>
      </c>
      <c r="E38" s="7" t="s">
        <v>17</v>
      </c>
      <c r="F38" s="7" t="s">
        <v>18</v>
      </c>
      <c r="G38" s="7" t="s">
        <v>19</v>
      </c>
      <c r="H38" s="7" t="s">
        <v>20</v>
      </c>
      <c r="I38" s="7" t="s">
        <v>21</v>
      </c>
      <c r="J38" s="7" t="s">
        <v>22</v>
      </c>
      <c r="K38" s="7" t="s">
        <v>23</v>
      </c>
      <c r="L38" s="7" t="s">
        <v>24</v>
      </c>
      <c r="M38" s="7" t="s">
        <v>25</v>
      </c>
      <c r="N38" s="12" t="s">
        <v>26</v>
      </c>
      <c r="O38" s="7" t="s">
        <v>27</v>
      </c>
      <c r="P38" s="7" t="s">
        <v>28</v>
      </c>
    </row>
    <row r="39" customFormat="false" ht="13.8" hidden="false" customHeight="false" outlineLevel="0" collapsed="false">
      <c r="A39" s="7" t="s">
        <v>29</v>
      </c>
      <c r="C39" s="10" t="n">
        <f aca="false">SUM(J10:N10)</f>
        <v>2817978</v>
      </c>
      <c r="D39" s="10" t="n">
        <f aca="false">SUM(K10:O10)</f>
        <v>2788231</v>
      </c>
      <c r="E39" s="10" t="n">
        <f aca="false">SUM(L10:P10)</f>
        <v>2725880</v>
      </c>
      <c r="F39" s="10" t="n">
        <f aca="false">SUM(M10:Q10)</f>
        <v>2659619</v>
      </c>
      <c r="G39" s="10" t="n">
        <f aca="false">SUM(N10:R10)</f>
        <v>2583455</v>
      </c>
      <c r="H39" s="10" t="n">
        <f aca="false">SUM(O10:S10)</f>
        <v>2510308</v>
      </c>
      <c r="I39" s="10" t="n">
        <f aca="false">SUM(P10:T10)</f>
        <v>2434273</v>
      </c>
      <c r="J39" s="10" t="n">
        <f aca="false">SUM(Q10:U10)</f>
        <v>2359712</v>
      </c>
      <c r="K39" s="10" t="n">
        <f aca="false">SUM(R10:V10)</f>
        <v>2277200</v>
      </c>
      <c r="L39" s="10" t="n">
        <f aca="false">SUM(S10:W10)</f>
        <v>2196312</v>
      </c>
      <c r="M39" s="10" t="n">
        <f aca="false">SUM(T10:X10)</f>
        <v>2123123</v>
      </c>
      <c r="N39" s="11" t="n">
        <f aca="false">SUM(U10:Y10)</f>
        <v>2058305</v>
      </c>
      <c r="O39" s="10" t="n">
        <f aca="false">SUM(V10:Z10)</f>
        <v>1998448</v>
      </c>
      <c r="P39" s="10" t="n">
        <f aca="false">SUM(W10:AA10)</f>
        <v>1948308</v>
      </c>
    </row>
    <row r="40" customFormat="false" ht="13.8" hidden="false" customHeight="false" outlineLevel="0" collapsed="false">
      <c r="A40" s="7" t="s">
        <v>30</v>
      </c>
      <c r="C40" s="8" t="n">
        <f aca="false">(C39-$C$39)/$C$39</f>
        <v>0</v>
      </c>
      <c r="D40" s="8" t="n">
        <f aca="false">(D39-$C$39)/$C$39</f>
        <v>-0.0105561505448233</v>
      </c>
      <c r="E40" s="8" t="n">
        <f aca="false">(E39-$C$39)/$C$39</f>
        <v>-0.0326822991520871</v>
      </c>
      <c r="F40" s="8" t="n">
        <f aca="false">(F39-$C$39)/$C$39</f>
        <v>-0.0561959674631952</v>
      </c>
      <c r="G40" s="8" t="n">
        <f aca="false">(G39-$C$39)/$C$39</f>
        <v>-0.0832238576738356</v>
      </c>
      <c r="H40" s="8" t="n">
        <f aca="false">(H39-$C$39)/$C$39</f>
        <v>-0.109181122066957</v>
      </c>
      <c r="I40" s="8" t="n">
        <f aca="false">(I39-$C$39)/$C$39</f>
        <v>-0.136163234773302</v>
      </c>
      <c r="J40" s="8" t="n">
        <f aca="false">(J39-$C$39)/$C$39</f>
        <v>-0.162622277391804</v>
      </c>
      <c r="K40" s="8" t="n">
        <f aca="false">(K39-$C$39)/$C$39</f>
        <v>-0.191902846651038</v>
      </c>
      <c r="L40" s="8" t="n">
        <f aca="false">(L39-$C$39)/$C$39</f>
        <v>-0.220607116166272</v>
      </c>
      <c r="M40" s="8" t="n">
        <f aca="false">(M39-$C$39)/$C$39</f>
        <v>-0.246579284863118</v>
      </c>
      <c r="N40" s="8" t="n">
        <f aca="false">(N39-$C$39)/$C$39</f>
        <v>-0.269580883881989</v>
      </c>
      <c r="O40" s="8" t="n">
        <f aca="false">(O39-$C$39)/$C$39</f>
        <v>-0.290822000739537</v>
      </c>
      <c r="P40" s="8" t="n">
        <f aca="false">(P39-$C$39)/$C$39</f>
        <v>-0.308614900471189</v>
      </c>
    </row>
  </sheetData>
  <mergeCells count="2">
    <mergeCell ref="A1:AB1"/>
    <mergeCell ref="A11:AB11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2026-05-28T16:34:02Z</dcterms:modified>
  <cp:revision>17</cp:revision>
  <dc:subject/>
  <dc:title/>
</cp:coreProperties>
</file>